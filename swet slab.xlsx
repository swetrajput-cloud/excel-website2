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8722c8de6614474/Desktop/"/>
    </mc:Choice>
  </mc:AlternateContent>
  <xr:revisionPtr revIDLastSave="0" documentId="8_{8861A794-8B9D-42DE-AEF5-EE685F681C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lab_Design_IS456_One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51" i="1" l="1"/>
  <c r="B56" i="1"/>
  <c r="B86" i="1"/>
  <c r="B76" i="1"/>
  <c r="B63" i="1"/>
  <c r="B64" i="1" s="1"/>
  <c r="B46" i="1"/>
  <c r="B47" i="1" s="1"/>
  <c r="B38" i="1"/>
  <c r="B27" i="1"/>
  <c r="B26" i="1"/>
  <c r="B28" i="1" s="1"/>
  <c r="B22" i="1"/>
  <c r="B49" i="1" l="1"/>
  <c r="B48" i="1"/>
  <c r="B29" i="1"/>
  <c r="B30" i="1" s="1"/>
  <c r="B31" i="1" s="1"/>
  <c r="B32" i="1" s="1"/>
  <c r="B33" i="1" s="1"/>
  <c r="B34" i="1" s="1"/>
  <c r="B36" i="1"/>
  <c r="B35" i="1"/>
  <c r="B37" i="1" s="1"/>
  <c r="B39" i="1" s="1"/>
  <c r="B71" i="1" l="1"/>
  <c r="B61" i="1"/>
  <c r="B60" i="1"/>
  <c r="B59" i="1"/>
  <c r="B58" i="1"/>
  <c r="B41" i="1"/>
  <c r="B40" i="1"/>
  <c r="B62" i="1" l="1"/>
  <c r="B73" i="1"/>
  <c r="B72" i="1"/>
  <c r="B74" i="1" s="1"/>
  <c r="B77" i="1" s="1"/>
  <c r="B79" i="1" l="1"/>
  <c r="B80" i="1" s="1"/>
  <c r="B81" i="1" s="1"/>
  <c r="B78" i="1"/>
  <c r="B83" i="1"/>
  <c r="B65" i="1"/>
  <c r="B67" i="1" l="1"/>
  <c r="B66" i="1"/>
  <c r="B68" i="1" l="1"/>
  <c r="B70" i="1" s="1"/>
  <c r="B84" i="1"/>
</calcChain>
</file>

<file path=xl/sharedStrings.xml><?xml version="1.0" encoding="utf-8"?>
<sst xmlns="http://schemas.openxmlformats.org/spreadsheetml/2006/main" count="89" uniqueCount="82">
  <si>
    <t xml:space="preserve">Slab Design (IS 456) </t>
  </si>
  <si>
    <t>Partitions (kN/m2)</t>
  </si>
  <si>
    <t>Logic: If Ly/Lx &gt; 2 → One-way slab; else Two-way slab.</t>
  </si>
  <si>
    <t xml:space="preserve">INPUTS </t>
  </si>
  <si>
    <t>Short span Lx (m)</t>
  </si>
  <si>
    <t>Long span Ly (m)</t>
  </si>
  <si>
    <t>Breadth per strip (m)</t>
  </si>
  <si>
    <t>Concrete grade fck (MPa)</t>
  </si>
  <si>
    <t>Steel grade fy (MPa)</t>
  </si>
  <si>
    <t>Clear cover (mm)</t>
  </si>
  <si>
    <t>Bar dia provided (mm)</t>
  </si>
  <si>
    <t>Live load (kN/m2)</t>
  </si>
  <si>
    <t>Floor finish (kN/m2)</t>
  </si>
  <si>
    <t>Plaster thickness for 2-way (mm)</t>
  </si>
  <si>
    <t>Floor finish thickness for 2-way (mm)</t>
  </si>
  <si>
    <t>Assumed l/d for one-way (input)</t>
  </si>
  <si>
    <t>Assumed span/D for two-way (input)</t>
  </si>
  <si>
    <t>Unit weight of concrete (kN/m3)</t>
  </si>
  <si>
    <t>Ly/Lx</t>
  </si>
  <si>
    <t>Slab Type</t>
  </si>
  <si>
    <t>ONE-WAY SLAB - per 1m strip</t>
  </si>
  <si>
    <t>Effective span (m) - assume = Long span</t>
  </si>
  <si>
    <t>Assumed l/d (input)</t>
  </si>
  <si>
    <t>Calculated effective depth d (mm) = L*1000/(l/d)</t>
  </si>
  <si>
    <t>Overall depth D (mm) = CEILING(d + cover + dia/2,25)</t>
  </si>
  <si>
    <t>Self weight (kN/m2) = D/1000 * unit weight</t>
  </si>
  <si>
    <t>Total dead load (kN/m2) = selfweight + finish + partitions</t>
  </si>
  <si>
    <t>Total design load w (kN/m2) = DL + LL</t>
  </si>
  <si>
    <t>wu (kN/m per 1m strip) = w * breadth</t>
  </si>
  <si>
    <t>Mu (kNm/m) = wu * L^2 / 8 (use effective span)</t>
  </si>
  <si>
    <t>A1 = 0.87*fy*d</t>
  </si>
  <si>
    <t>A2 = fy/(fck*b*d)</t>
  </si>
  <si>
    <t>Ast required (mm2/m)</t>
  </si>
  <si>
    <t>Area one bar (mm2)</t>
  </si>
  <si>
    <t>No bars per m (round up)</t>
  </si>
  <si>
    <t>Ast provided (mm2/m)</t>
  </si>
  <si>
    <t>Spacing (mm) = 1000 / No bars</t>
  </si>
  <si>
    <t>TWO-WAY SLAB</t>
  </si>
  <si>
    <t>Span/D (input from clause 24.1 or user)</t>
  </si>
  <si>
    <t>Calculated D (mm) = CEILING(Lx*1000 / (Span/D),25)</t>
  </si>
  <si>
    <t>Calculated d (mm) = D - cover - dia/2</t>
  </si>
  <si>
    <t>Design load w (kN/m2) = selfweight (D) + floor finish (thickness) + plaster + live load</t>
  </si>
  <si>
    <t>Pick Table26 case (exact name)</t>
  </si>
  <si>
    <t>Interior panel - Positive</t>
  </si>
  <si>
    <t>Enter Ly/Lx ratio (for interpolation)</t>
  </si>
  <si>
    <t>αx1(lower limit)</t>
  </si>
  <si>
    <t>αx2(upper limit)</t>
  </si>
  <si>
    <t>Lower limit</t>
  </si>
  <si>
    <t>Upper limit</t>
  </si>
  <si>
    <t>Interpolated alpha (αx)</t>
  </si>
  <si>
    <t>αy</t>
  </si>
  <si>
    <t>Mx (kNm/m)</t>
  </si>
  <si>
    <t>My (kNm/m)</t>
  </si>
  <si>
    <t>A1_x = 0.87*fy*d (for short dir)</t>
  </si>
  <si>
    <t>A2_x = fy/(fck*b*d)</t>
  </si>
  <si>
    <t>Ast_x required (mm2/m)</t>
  </si>
  <si>
    <t>Bar dia short dir (mm)</t>
  </si>
  <si>
    <t>No bars per m (short dir)</t>
  </si>
  <si>
    <t>Spacing short dir (mm)</t>
  </si>
  <si>
    <t>Ast provided short dir (mm2/m)</t>
  </si>
  <si>
    <t>pt provided (%)</t>
  </si>
  <si>
    <t>pt min (%)</t>
  </si>
  <si>
    <t>pt check</t>
  </si>
  <si>
    <t>d_long (mm) = d_short - dia_short</t>
  </si>
  <si>
    <t>Ast_long required (mm2/m)</t>
  </si>
  <si>
    <t>Bar dia long dir (mm)</t>
  </si>
  <si>
    <t>No bars per m (long dir)</t>
  </si>
  <si>
    <t>Spacing long dir (mm)</t>
  </si>
  <si>
    <t>Ast provided long dir (mm2/m)</t>
  </si>
  <si>
    <t>Deflection check</t>
  </si>
  <si>
    <t>% steel required for shorter direction</t>
  </si>
  <si>
    <t>fs</t>
  </si>
  <si>
    <t>Modification factor from Fig 4</t>
  </si>
  <si>
    <t>d(Lx/20*M.F)</t>
  </si>
  <si>
    <t>TABLE26 (ratios headers)</t>
  </si>
  <si>
    <t>Interior panel - Negative</t>
  </si>
  <si>
    <t>One short edge cont. - Positive</t>
  </si>
  <si>
    <t>One short edge cont. - Negative</t>
  </si>
  <si>
    <t>Two adjacent edges disc. - Positive</t>
  </si>
  <si>
    <t>Two adjacent edges disc. - Negative</t>
  </si>
  <si>
    <t>Three edges cont. - Positive</t>
  </si>
  <si>
    <t>Three edges cont. -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</si>
</sst>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36</xdr:row>
      <xdr:rowOff>28575</xdr:rowOff>
    </xdr:from>
    <xdr:to>
      <xdr:col>5</xdr:col>
      <xdr:colOff>285750</xdr:colOff>
      <xdr:row>59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44A50-3F16-E216-4423-8EBD5CDE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7077075"/>
          <a:ext cx="4572000" cy="44196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63</xdr:row>
      <xdr:rowOff>9525</xdr:rowOff>
    </xdr:from>
    <xdr:to>
      <xdr:col>5</xdr:col>
      <xdr:colOff>276225</xdr:colOff>
      <xdr:row>66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29F00-849C-19B5-8DAB-30A537600673}"/>
            </a:ext>
            <a:ext uri="{147F2762-F138-4A5C-976F-8EAC2B608ADB}">
              <a16:predDERef xmlns:a16="http://schemas.microsoft.com/office/drawing/2014/main" pred="{66444A50-3F16-E216-4423-8EBD5CDE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5" y="11630025"/>
          <a:ext cx="4572000" cy="619125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67</xdr:row>
      <xdr:rowOff>0</xdr:rowOff>
    </xdr:from>
    <xdr:to>
      <xdr:col>5</xdr:col>
      <xdr:colOff>409575</xdr:colOff>
      <xdr:row>84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1CC15E-5206-4D77-3568-A4B4D4B78DDD}"/>
            </a:ext>
            <a:ext uri="{147F2762-F138-4A5C-976F-8EAC2B608ADB}">
              <a16:predDERef xmlns:a16="http://schemas.microsoft.com/office/drawing/2014/main" pred="{6F229F00-849C-19B5-8DAB-30A53760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2175" y="12763500"/>
          <a:ext cx="4533900" cy="3400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A4" sqref="A4"/>
    </sheetView>
  </sheetViews>
  <sheetFormatPr defaultRowHeight="14.4" x14ac:dyDescent="0.3"/>
  <cols>
    <col min="1" max="1" width="55.44140625" customWidth="1"/>
    <col min="2" max="11" width="24" customWidth="1"/>
  </cols>
  <sheetData>
    <row r="1" spans="1:2" ht="18" x14ac:dyDescent="0.35">
      <c r="A1" s="5" t="s">
        <v>0</v>
      </c>
      <c r="B1" t="s">
        <v>1</v>
      </c>
    </row>
    <row r="2" spans="1:2" x14ac:dyDescent="0.3">
      <c r="A2" t="s">
        <v>2</v>
      </c>
    </row>
    <row r="4" spans="1:2" x14ac:dyDescent="0.3">
      <c r="A4" t="s">
        <v>3</v>
      </c>
    </row>
    <row r="5" spans="1:2" x14ac:dyDescent="0.3">
      <c r="A5" t="s">
        <v>4</v>
      </c>
      <c r="B5">
        <v>3</v>
      </c>
    </row>
    <row r="6" spans="1:2" x14ac:dyDescent="0.3">
      <c r="A6" t="s">
        <v>5</v>
      </c>
      <c r="B6">
        <v>6.5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20</v>
      </c>
    </row>
    <row r="9" spans="1:2" x14ac:dyDescent="0.3">
      <c r="A9" t="s">
        <v>8</v>
      </c>
      <c r="B9">
        <v>415</v>
      </c>
    </row>
    <row r="10" spans="1:2" x14ac:dyDescent="0.3">
      <c r="A10" t="s">
        <v>9</v>
      </c>
      <c r="B10">
        <v>20</v>
      </c>
    </row>
    <row r="11" spans="1:2" x14ac:dyDescent="0.3">
      <c r="A11" t="s">
        <v>10</v>
      </c>
      <c r="B11">
        <v>8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1</v>
      </c>
    </row>
    <row r="14" spans="1:2" x14ac:dyDescent="0.3">
      <c r="B14">
        <v>0</v>
      </c>
    </row>
    <row r="15" spans="1:2" x14ac:dyDescent="0.3">
      <c r="A15" t="s">
        <v>13</v>
      </c>
      <c r="B15">
        <v>6</v>
      </c>
    </row>
    <row r="16" spans="1:2" x14ac:dyDescent="0.3">
      <c r="A16" t="s">
        <v>14</v>
      </c>
      <c r="B16">
        <v>25</v>
      </c>
    </row>
    <row r="17" spans="1:2" x14ac:dyDescent="0.3">
      <c r="A17" t="s">
        <v>15</v>
      </c>
      <c r="B17">
        <v>15</v>
      </c>
    </row>
    <row r="18" spans="1:2" x14ac:dyDescent="0.3">
      <c r="A18" t="s">
        <v>16</v>
      </c>
      <c r="B18">
        <v>35</v>
      </c>
    </row>
    <row r="19" spans="1:2" x14ac:dyDescent="0.3">
      <c r="A19" t="s">
        <v>17</v>
      </c>
      <c r="B19">
        <v>25</v>
      </c>
    </row>
    <row r="21" spans="1:2" x14ac:dyDescent="0.3">
      <c r="A21" t="s">
        <v>18</v>
      </c>
      <c r="B21">
        <f>B6/B5</f>
        <v>2.1666666666666665</v>
      </c>
    </row>
    <row r="22" spans="1:2" x14ac:dyDescent="0.3">
      <c r="A22" t="s">
        <v>19</v>
      </c>
      <c r="B22" t="str">
        <f>IF(B21&gt;2, "One-way", "Two-way")</f>
        <v>One-way</v>
      </c>
    </row>
    <row r="25" spans="1:2" x14ac:dyDescent="0.3">
      <c r="A25" s="4" t="s">
        <v>20</v>
      </c>
      <c r="B25" s="4"/>
    </row>
    <row r="26" spans="1:2" x14ac:dyDescent="0.3">
      <c r="A26" t="s">
        <v>21</v>
      </c>
      <c r="B26">
        <f>IF(B21&lt;2,"-",B6)</f>
        <v>6.5</v>
      </c>
    </row>
    <row r="27" spans="1:2" x14ac:dyDescent="0.3">
      <c r="A27" t="s">
        <v>22</v>
      </c>
      <c r="B27">
        <f>IF(B21&lt;2,"-",20)</f>
        <v>20</v>
      </c>
    </row>
    <row r="28" spans="1:2" x14ac:dyDescent="0.3">
      <c r="A28" t="s">
        <v>23</v>
      </c>
      <c r="B28" s="2">
        <f>IF(B21&lt;2,"-",ROUNDUP(B26*1000 / B27, -2))</f>
        <v>400</v>
      </c>
    </row>
    <row r="29" spans="1:2" x14ac:dyDescent="0.3">
      <c r="A29" t="s">
        <v>24</v>
      </c>
      <c r="B29">
        <f>IF(B21&lt;2,"-",CEILING(B28 + B10 + B11/2, 25))</f>
        <v>425</v>
      </c>
    </row>
    <row r="30" spans="1:2" x14ac:dyDescent="0.3">
      <c r="A30" t="s">
        <v>25</v>
      </c>
      <c r="B30">
        <f>IF(B21&lt;2,"-",(B29/1000)*B19)</f>
        <v>10.625</v>
      </c>
    </row>
    <row r="31" spans="1:2" x14ac:dyDescent="0.3">
      <c r="A31" t="s">
        <v>26</v>
      </c>
      <c r="B31">
        <f>IF(B21&lt;2,"-",B30 + B13 + B14)</f>
        <v>11.625</v>
      </c>
    </row>
    <row r="32" spans="1:2" x14ac:dyDescent="0.3">
      <c r="A32" t="s">
        <v>27</v>
      </c>
      <c r="B32">
        <f>IF(B21&lt;2,"-",B31 + B12)</f>
        <v>14.625</v>
      </c>
    </row>
    <row r="33" spans="1:2" x14ac:dyDescent="0.3">
      <c r="A33" t="s">
        <v>28</v>
      </c>
      <c r="B33">
        <f>IF(B21&lt;2,"-",B32 * B7)</f>
        <v>14.625</v>
      </c>
    </row>
    <row r="34" spans="1:2" x14ac:dyDescent="0.3">
      <c r="A34" t="s">
        <v>29</v>
      </c>
      <c r="B34">
        <f>IF(B21&lt;2,"-",B33 * (B26^2) / 8)</f>
        <v>77.23828125</v>
      </c>
    </row>
    <row r="35" spans="1:2" x14ac:dyDescent="0.3">
      <c r="A35" t="s">
        <v>30</v>
      </c>
      <c r="B35">
        <f>IF(B21&lt;2,"-",0.87 * B9 * B28)</f>
        <v>144420</v>
      </c>
    </row>
    <row r="36" spans="1:2" x14ac:dyDescent="0.3">
      <c r="A36" t="s">
        <v>31</v>
      </c>
      <c r="B36">
        <f>IF(B21&lt;2,"-",B9 / (B8 * 1000 * B28))</f>
        <v>5.1875000000000001E-5</v>
      </c>
    </row>
    <row r="37" spans="1:2" x14ac:dyDescent="0.3">
      <c r="A37" t="s">
        <v>32</v>
      </c>
      <c r="B37">
        <f>IF(B21&lt;2,"-",(B35 - SQRT(B35^2 - 4*B35*B36*(B34*1000000)))/(2*B35*B36))</f>
        <v>550.54009161374688</v>
      </c>
    </row>
    <row r="38" spans="1:2" x14ac:dyDescent="0.3">
      <c r="A38" t="s">
        <v>33</v>
      </c>
      <c r="B38">
        <f>IF(B21&lt;2,"-",PI()*(B11/2)^2)</f>
        <v>50.26548245743669</v>
      </c>
    </row>
    <row r="39" spans="1:2" x14ac:dyDescent="0.3">
      <c r="A39" t="s">
        <v>34</v>
      </c>
      <c r="B39">
        <f>IF(B21&lt;2,"-",CEILING(B37 / B38, 1))</f>
        <v>11</v>
      </c>
    </row>
    <row r="40" spans="1:2" x14ac:dyDescent="0.3">
      <c r="A40" t="s">
        <v>35</v>
      </c>
      <c r="B40">
        <f>IF(B21&lt;2,"-",B39 * B38)</f>
        <v>552.92030703180353</v>
      </c>
    </row>
    <row r="41" spans="1:2" x14ac:dyDescent="0.3">
      <c r="A41" t="s">
        <v>36</v>
      </c>
      <c r="B41">
        <f>IF(B21&lt;2,"-",IF(B39=0, "-", ROUND(1000 / B39,0)))</f>
        <v>91</v>
      </c>
    </row>
    <row r="45" spans="1:2" x14ac:dyDescent="0.3">
      <c r="A45" s="3" t="s">
        <v>37</v>
      </c>
      <c r="B45" s="3"/>
    </row>
    <row r="46" spans="1:2" x14ac:dyDescent="0.3">
      <c r="A46" t="s">
        <v>38</v>
      </c>
      <c r="B46" t="str">
        <f>IF(B21&gt;=2,"-",B18)</f>
        <v>-</v>
      </c>
    </row>
    <row r="47" spans="1:2" x14ac:dyDescent="0.3">
      <c r="A47" t="s">
        <v>39</v>
      </c>
      <c r="B47" t="str">
        <f>IF(B21&gt;=2,"-",CEILING(B5*1000 / B46, 25))</f>
        <v>-</v>
      </c>
    </row>
    <row r="48" spans="1:2" x14ac:dyDescent="0.3">
      <c r="A48" t="s">
        <v>40</v>
      </c>
      <c r="B48" t="str">
        <f>IF(B21&gt;=2,"-",B47 - B10 - B11/2)</f>
        <v>-</v>
      </c>
    </row>
    <row r="49" spans="1:2" x14ac:dyDescent="0.3">
      <c r="A49" t="s">
        <v>41</v>
      </c>
      <c r="B49" t="str">
        <f>IF(B21&gt;=2,"-",(B47/1000)*B19 + (B16/1000)*B19 + (B15/1000)*B19 + B12)</f>
        <v>-</v>
      </c>
    </row>
    <row r="50" spans="1:2" x14ac:dyDescent="0.3">
      <c r="A50" t="s">
        <v>42</v>
      </c>
      <c r="B50" t="s">
        <v>43</v>
      </c>
    </row>
    <row r="51" spans="1:2" x14ac:dyDescent="0.3">
      <c r="A51" t="s">
        <v>44</v>
      </c>
      <c r="B51" t="str">
        <f>IF(B21&gt;=2,"-",B21)</f>
        <v>-</v>
      </c>
    </row>
    <row r="52" spans="1:2" x14ac:dyDescent="0.3">
      <c r="A52" t="s">
        <v>45</v>
      </c>
      <c r="B52">
        <v>1.3</v>
      </c>
    </row>
    <row r="53" spans="1:2" x14ac:dyDescent="0.3">
      <c r="A53" s="1" t="s">
        <v>46</v>
      </c>
      <c r="B53">
        <v>1.4</v>
      </c>
    </row>
    <row r="54" spans="1:2" x14ac:dyDescent="0.3">
      <c r="A54" s="1" t="s">
        <v>47</v>
      </c>
      <c r="B54">
        <v>3.5999999999999997E-2</v>
      </c>
    </row>
    <row r="55" spans="1:2" x14ac:dyDescent="0.3">
      <c r="A55" s="1" t="s">
        <v>48</v>
      </c>
      <c r="B55">
        <v>3.9E-2</v>
      </c>
    </row>
    <row r="56" spans="1:2" x14ac:dyDescent="0.3">
      <c r="A56" t="s">
        <v>49</v>
      </c>
      <c r="B56" t="str">
        <f>IF(B21&gt;=2,"-",B54+(B55-B54)*(B51-B52)/(B53-B52))</f>
        <v>-</v>
      </c>
    </row>
    <row r="57" spans="1:2" x14ac:dyDescent="0.3">
      <c r="A57" s="1" t="s">
        <v>50</v>
      </c>
      <c r="B57">
        <v>2.4E-2</v>
      </c>
    </row>
    <row r="58" spans="1:2" x14ac:dyDescent="0.3">
      <c r="A58" t="s">
        <v>51</v>
      </c>
      <c r="B58" t="str">
        <f>IF(B21&gt;=2,"-",B56 * B49 * B5^2)</f>
        <v>-</v>
      </c>
    </row>
    <row r="59" spans="1:2" x14ac:dyDescent="0.3">
      <c r="A59" t="s">
        <v>52</v>
      </c>
      <c r="B59" t="str">
        <f>IF(B21&gt;=2,"-",B57 * B49 * B5^2)</f>
        <v>-</v>
      </c>
    </row>
    <row r="60" spans="1:2" x14ac:dyDescent="0.3">
      <c r="A60" t="s">
        <v>53</v>
      </c>
      <c r="B60" t="str">
        <f>IF(B21&gt;=2,"-",0.87 * B9 * B48)</f>
        <v>-</v>
      </c>
    </row>
    <row r="61" spans="1:2" x14ac:dyDescent="0.3">
      <c r="A61" t="s">
        <v>54</v>
      </c>
      <c r="B61" t="str">
        <f>IF(B21&gt;=2,"-",B9 / (B8 * 1000 * B48))</f>
        <v>-</v>
      </c>
    </row>
    <row r="62" spans="1:2" x14ac:dyDescent="0.3">
      <c r="A62" t="s">
        <v>55</v>
      </c>
      <c r="B62" t="str">
        <f>IF(B21&gt;=2,"-",(B60 - SQRT(B60^2 - 4*B60*B61*(B58*1000000)))/(2*B60*B61))</f>
        <v>-</v>
      </c>
    </row>
    <row r="63" spans="1:2" x14ac:dyDescent="0.3">
      <c r="A63" t="s">
        <v>56</v>
      </c>
      <c r="B63" t="str">
        <f>IF(B21&gt;=2,"-",B11)</f>
        <v>-</v>
      </c>
    </row>
    <row r="64" spans="1:2" x14ac:dyDescent="0.3">
      <c r="A64" t="s">
        <v>33</v>
      </c>
      <c r="B64" t="str">
        <f>IF(B21&gt;=2,"-",PI()*(B63/2)^2)</f>
        <v>-</v>
      </c>
    </row>
    <row r="65" spans="1:2" x14ac:dyDescent="0.3">
      <c r="A65" t="s">
        <v>57</v>
      </c>
      <c r="B65" t="str">
        <f>IF(B21&gt;=2,"-",CEILING(B62 / B64, 1))</f>
        <v>-</v>
      </c>
    </row>
    <row r="66" spans="1:2" x14ac:dyDescent="0.3">
      <c r="A66" t="s">
        <v>58</v>
      </c>
      <c r="B66" t="str">
        <f>IF(B21&gt;=2,"-",IF(B65=0, "-", ROUND(1000 / B65,0)))</f>
        <v>-</v>
      </c>
    </row>
    <row r="67" spans="1:2" x14ac:dyDescent="0.3">
      <c r="A67" t="s">
        <v>59</v>
      </c>
      <c r="B67" t="str">
        <f>IF(B21&gt;=2,"-",B65 * B64)</f>
        <v>-</v>
      </c>
    </row>
    <row r="68" spans="1:2" x14ac:dyDescent="0.3">
      <c r="A68" t="s">
        <v>60</v>
      </c>
      <c r="B68" t="str">
        <f>IF(B21&gt;=2,"-",(B67 / (1000 * B48)) * 100)</f>
        <v>-</v>
      </c>
    </row>
    <row r="69" spans="1:2" x14ac:dyDescent="0.3">
      <c r="A69" t="s">
        <v>61</v>
      </c>
      <c r="B69">
        <v>0.12</v>
      </c>
    </row>
    <row r="70" spans="1:2" x14ac:dyDescent="0.3">
      <c r="A70" t="s">
        <v>62</v>
      </c>
      <c r="B70" t="str">
        <f>IF(B21&gt;=2,"-",IF(B68&gt;B69,"OK","NOT OK"))</f>
        <v>-</v>
      </c>
    </row>
    <row r="71" spans="1:2" x14ac:dyDescent="0.3">
      <c r="A71" t="s">
        <v>63</v>
      </c>
      <c r="B71" t="str">
        <f>IF(B21&gt;=2,"-",B48 - B63)</f>
        <v>-</v>
      </c>
    </row>
    <row r="72" spans="1:2" x14ac:dyDescent="0.3">
      <c r="A72" t="s">
        <v>30</v>
      </c>
      <c r="B72" t="str">
        <f>IF(B21&gt;=2,"-",0.87 * B9 * B71)</f>
        <v>-</v>
      </c>
    </row>
    <row r="73" spans="1:2" x14ac:dyDescent="0.3">
      <c r="A73" t="s">
        <v>31</v>
      </c>
      <c r="B73" t="str">
        <f>IF(B21&gt;=2,"-",B9 / (B8 * 1000 * B71))</f>
        <v>-</v>
      </c>
    </row>
    <row r="74" spans="1:2" x14ac:dyDescent="0.3">
      <c r="A74" t="s">
        <v>64</v>
      </c>
      <c r="B74" t="str">
        <f>IF(B21&gt;=2,"-",(B72 - SQRT(B72^2 - 4*B72*B73*(B59*1000000)))/(2*B72*B73))</f>
        <v>-</v>
      </c>
    </row>
    <row r="75" spans="1:2" x14ac:dyDescent="0.3">
      <c r="A75" t="s">
        <v>65</v>
      </c>
      <c r="B75">
        <v>8</v>
      </c>
    </row>
    <row r="76" spans="1:2" x14ac:dyDescent="0.3">
      <c r="A76" t="s">
        <v>33</v>
      </c>
      <c r="B76" t="str">
        <f>IF(B21&gt;=2,"-",PI()*(B75/2)^2)</f>
        <v>-</v>
      </c>
    </row>
    <row r="77" spans="1:2" x14ac:dyDescent="0.3">
      <c r="A77" t="s">
        <v>66</v>
      </c>
      <c r="B77" t="str">
        <f>IF(B21&gt;=2,"-",CEILING(B74 / B76, 1))</f>
        <v>-</v>
      </c>
    </row>
    <row r="78" spans="1:2" x14ac:dyDescent="0.3">
      <c r="A78" t="s">
        <v>67</v>
      </c>
      <c r="B78" t="str">
        <f>IF(B21&gt;=2,"-",IF(B77=0, "-", ROUND(1000 / B77,0)))</f>
        <v>-</v>
      </c>
    </row>
    <row r="79" spans="1:2" x14ac:dyDescent="0.3">
      <c r="A79" t="s">
        <v>68</v>
      </c>
      <c r="B79" t="str">
        <f>IF(B21&gt;=2,"-",B77 * B64)</f>
        <v>-</v>
      </c>
    </row>
    <row r="80" spans="1:2" x14ac:dyDescent="0.3">
      <c r="A80" t="s">
        <v>60</v>
      </c>
      <c r="B80" t="str">
        <f>IF(B21&gt;=2,"-",B79*100/(1000*B71))</f>
        <v>-</v>
      </c>
    </row>
    <row r="81" spans="1:2" x14ac:dyDescent="0.3">
      <c r="A81" t="s">
        <v>62</v>
      </c>
      <c r="B81" t="str">
        <f>IF(B21&gt;=2,"-",IF(B80&gt;B69,"OK","NOT OK"))</f>
        <v>-</v>
      </c>
    </row>
    <row r="82" spans="1:2" x14ac:dyDescent="0.3">
      <c r="A82" t="s">
        <v>69</v>
      </c>
    </row>
    <row r="83" spans="1:2" x14ac:dyDescent="0.3">
      <c r="A83" t="s">
        <v>70</v>
      </c>
      <c r="B83" t="str">
        <f>IF(B21&gt;=2,"-",B62*100/(1000*B48))</f>
        <v>-</v>
      </c>
    </row>
    <row r="84" spans="1:2" x14ac:dyDescent="0.3">
      <c r="A84" t="s">
        <v>71</v>
      </c>
      <c r="B84" t="str">
        <f>IF(B21&gt;=2,"-",0.58*B9*B62/B67)</f>
        <v>-</v>
      </c>
    </row>
    <row r="85" spans="1:2" x14ac:dyDescent="0.3">
      <c r="A85" t="s">
        <v>72</v>
      </c>
      <c r="B85">
        <v>1.9</v>
      </c>
    </row>
    <row r="86" spans="1:2" x14ac:dyDescent="0.3">
      <c r="A86" t="s">
        <v>73</v>
      </c>
      <c r="B86" t="str">
        <f>IF(B21&gt;=2,"-",B5*1000/(20*B85))</f>
        <v>-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69D6-F288-41A1-B1A5-886D509321C7}">
  <dimension ref="A1:J9"/>
  <sheetViews>
    <sheetView workbookViewId="0">
      <selection sqref="A1:J9"/>
    </sheetView>
  </sheetViews>
  <sheetFormatPr defaultRowHeight="14.4" x14ac:dyDescent="0.3"/>
  <sheetData>
    <row r="1" spans="1:10" x14ac:dyDescent="0.3">
      <c r="A1" t="s">
        <v>74</v>
      </c>
      <c r="B1">
        <v>1</v>
      </c>
      <c r="C1">
        <v>1.1000000000000001</v>
      </c>
      <c r="D1">
        <v>1.2</v>
      </c>
      <c r="E1">
        <v>1.3</v>
      </c>
      <c r="F1">
        <v>1.4</v>
      </c>
      <c r="G1">
        <v>1.5</v>
      </c>
      <c r="H1">
        <v>1.75</v>
      </c>
      <c r="I1">
        <v>2</v>
      </c>
      <c r="J1">
        <v>2.5</v>
      </c>
    </row>
    <row r="2" spans="1:10" x14ac:dyDescent="0.3">
      <c r="A2" t="s">
        <v>43</v>
      </c>
      <c r="B2">
        <v>2.4E-2</v>
      </c>
      <c r="C2">
        <v>2.8000000000000001E-2</v>
      </c>
      <c r="D2">
        <v>3.2000000000000001E-2</v>
      </c>
      <c r="E2">
        <v>3.5999999999999997E-2</v>
      </c>
      <c r="F2">
        <v>3.9E-2</v>
      </c>
      <c r="G2">
        <v>4.1000000000000002E-2</v>
      </c>
      <c r="H2">
        <v>4.4999999999999998E-2</v>
      </c>
      <c r="I2">
        <v>4.9000000000000002E-2</v>
      </c>
      <c r="J2">
        <v>5.3999999999999999E-2</v>
      </c>
    </row>
    <row r="3" spans="1:10" x14ac:dyDescent="0.3">
      <c r="A3" t="s">
        <v>75</v>
      </c>
      <c r="B3">
        <v>3.2000000000000001E-2</v>
      </c>
      <c r="C3">
        <v>3.6999999999999998E-2</v>
      </c>
      <c r="D3">
        <v>4.2999999999999997E-2</v>
      </c>
      <c r="E3">
        <v>4.7E-2</v>
      </c>
      <c r="F3">
        <v>5.0999999999999997E-2</v>
      </c>
      <c r="G3">
        <v>5.2999999999999999E-2</v>
      </c>
      <c r="H3">
        <v>0.06</v>
      </c>
      <c r="I3">
        <v>6.5000000000000002E-2</v>
      </c>
      <c r="J3">
        <v>7.1999999999999995E-2</v>
      </c>
    </row>
    <row r="4" spans="1:10" x14ac:dyDescent="0.3">
      <c r="A4" t="s">
        <v>76</v>
      </c>
      <c r="B4">
        <v>2.8000000000000001E-2</v>
      </c>
      <c r="C4">
        <v>3.2000000000000001E-2</v>
      </c>
      <c r="D4">
        <v>3.5999999999999997E-2</v>
      </c>
      <c r="E4">
        <v>3.9E-2</v>
      </c>
      <c r="F4">
        <v>4.1000000000000002E-2</v>
      </c>
      <c r="G4">
        <v>4.3999999999999997E-2</v>
      </c>
      <c r="H4">
        <v>4.8000000000000001E-2</v>
      </c>
      <c r="I4">
        <v>5.1999999999999998E-2</v>
      </c>
      <c r="J4">
        <v>5.8000000000000003E-2</v>
      </c>
    </row>
    <row r="5" spans="1:10" x14ac:dyDescent="0.3">
      <c r="A5" t="s">
        <v>77</v>
      </c>
      <c r="B5">
        <v>3.6999999999999998E-2</v>
      </c>
      <c r="C5">
        <v>4.2999999999999997E-2</v>
      </c>
      <c r="D5">
        <v>4.8000000000000001E-2</v>
      </c>
      <c r="E5">
        <v>5.0999999999999997E-2</v>
      </c>
      <c r="F5">
        <v>5.5E-2</v>
      </c>
      <c r="G5">
        <v>5.7000000000000002E-2</v>
      </c>
      <c r="H5">
        <v>6.4000000000000001E-2</v>
      </c>
      <c r="I5">
        <v>6.8000000000000005E-2</v>
      </c>
      <c r="J5">
        <v>7.6999999999999999E-2</v>
      </c>
    </row>
    <row r="6" spans="1:10" x14ac:dyDescent="0.3">
      <c r="A6" t="s">
        <v>78</v>
      </c>
      <c r="B6">
        <v>0.03</v>
      </c>
      <c r="C6">
        <v>0.04</v>
      </c>
      <c r="D6">
        <v>4.4999999999999998E-2</v>
      </c>
      <c r="E6">
        <v>4.9000000000000002E-2</v>
      </c>
      <c r="F6">
        <v>5.2999999999999999E-2</v>
      </c>
      <c r="G6">
        <v>5.6000000000000001E-2</v>
      </c>
      <c r="H6">
        <v>6.3E-2</v>
      </c>
      <c r="I6">
        <v>6.9000000000000006E-2</v>
      </c>
      <c r="J6">
        <v>0.08</v>
      </c>
    </row>
    <row r="7" spans="1:10" x14ac:dyDescent="0.3">
      <c r="A7" t="s">
        <v>79</v>
      </c>
      <c r="B7">
        <v>4.7E-2</v>
      </c>
      <c r="C7">
        <v>5.3999999999999999E-2</v>
      </c>
      <c r="D7">
        <v>0.06</v>
      </c>
      <c r="E7">
        <v>6.5000000000000002E-2</v>
      </c>
      <c r="F7">
        <v>7.0999999999999994E-2</v>
      </c>
      <c r="G7">
        <v>7.4999999999999997E-2</v>
      </c>
      <c r="H7">
        <v>8.4000000000000005E-2</v>
      </c>
      <c r="I7">
        <v>9.0999999999999998E-2</v>
      </c>
      <c r="J7">
        <v>0.104</v>
      </c>
    </row>
    <row r="8" spans="1:10" x14ac:dyDescent="0.3">
      <c r="A8" t="s">
        <v>80</v>
      </c>
      <c r="B8">
        <v>4.2999999999999997E-2</v>
      </c>
      <c r="C8">
        <v>4.4999999999999998E-2</v>
      </c>
      <c r="D8">
        <v>4.8000000000000001E-2</v>
      </c>
      <c r="E8">
        <v>5.0999999999999997E-2</v>
      </c>
      <c r="F8">
        <v>5.3999999999999999E-2</v>
      </c>
      <c r="G8">
        <v>0.06</v>
      </c>
      <c r="H8">
        <v>6.9000000000000006E-2</v>
      </c>
      <c r="I8">
        <v>7.2999999999999995E-2</v>
      </c>
      <c r="J8">
        <v>8.5000000000000006E-2</v>
      </c>
    </row>
    <row r="9" spans="1:10" x14ac:dyDescent="0.3">
      <c r="A9" t="s">
        <v>81</v>
      </c>
      <c r="B9">
        <v>5.7000000000000002E-2</v>
      </c>
      <c r="C9">
        <v>6.4000000000000001E-2</v>
      </c>
      <c r="D9">
        <v>7.0999999999999994E-2</v>
      </c>
      <c r="E9">
        <v>7.5999999999999998E-2</v>
      </c>
      <c r="F9">
        <v>0.08</v>
      </c>
      <c r="G9">
        <v>8.4000000000000005E-2</v>
      </c>
      <c r="H9">
        <v>9.0999999999999998E-2</v>
      </c>
      <c r="I9">
        <v>9.8000000000000004E-2</v>
      </c>
      <c r="J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Slab_Design_IS456_OneSheet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Swet Raj</cp:lastModifiedBy>
  <cp:revision/>
  <dcterms:created xsi:type="dcterms:W3CDTF">2025-11-16T10:35:11Z</dcterms:created>
  <dcterms:modified xsi:type="dcterms:W3CDTF">2025-11-19T10:08:29Z</dcterms:modified>
  <cp:category/>
  <cp:contentStatus/>
</cp:coreProperties>
</file>